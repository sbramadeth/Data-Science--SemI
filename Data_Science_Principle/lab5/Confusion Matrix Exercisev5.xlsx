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ram\Downloads\mtu\lab\data science\lab5\"/>
    </mc:Choice>
  </mc:AlternateContent>
  <xr:revisionPtr revIDLastSave="0" documentId="13_ncr:1_{53208135-7687-458D-82F0-6319F6968603}" xr6:coauthVersionLast="47" xr6:coauthVersionMax="47" xr10:uidLastSave="{00000000-0000-0000-0000-000000000000}"/>
  <bookViews>
    <workbookView xWindow="-110" yWindow="-110" windowWidth="19420" windowHeight="11020" activeTab="1" xr2:uid="{CAE2A601-42ED-4667-9D88-662ADA5384BD}"/>
  </bookViews>
  <sheets>
    <sheet name="Calcs_1" sheetId="2" r:id="rId1"/>
    <sheet name="Cacls_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D11" i="2"/>
  <c r="M18" i="2" a="1"/>
  <c r="M18" i="2" s="1"/>
  <c r="C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12" i="2"/>
  <c r="M26" i="2"/>
  <c r="M24" i="2"/>
  <c r="M23" i="2"/>
  <c r="M21" i="2"/>
  <c r="M20" i="2"/>
  <c r="C13" i="2"/>
  <c r="C16" i="2"/>
  <c r="C18" i="2"/>
  <c r="D18" i="2" s="1"/>
  <c r="C19" i="2"/>
  <c r="D19" i="2" s="1"/>
  <c r="B20" i="2"/>
  <c r="C20" i="2" s="1"/>
  <c r="B17" i="2"/>
  <c r="C17" i="2" s="1"/>
  <c r="D16" i="2"/>
  <c r="B15" i="2"/>
  <c r="B14" i="2"/>
  <c r="C14" i="2" s="1"/>
  <c r="D13" i="2"/>
  <c r="C12" i="2"/>
  <c r="C11" i="2"/>
  <c r="C15" i="2" l="1"/>
  <c r="D15" i="2" s="1"/>
  <c r="D20" i="2"/>
  <c r="D12" i="2"/>
  <c r="D14" i="2"/>
  <c r="D17" i="2"/>
  <c r="I13" i="2" l="1"/>
  <c r="H13" i="2"/>
  <c r="I12" i="2"/>
  <c r="H12" i="2"/>
  <c r="H14" i="2" l="1"/>
  <c r="I21" i="2" s="1"/>
  <c r="I23" i="2"/>
  <c r="I14" i="2"/>
  <c r="I20" i="2" s="1"/>
  <c r="I24" i="2" l="1"/>
  <c r="I26" i="2" s="1"/>
  <c r="I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<sst xmlns="http://schemas.openxmlformats.org/spreadsheetml/2006/main" count="69" uniqueCount="32">
  <si>
    <t>Actual</t>
  </si>
  <si>
    <t>Predicted</t>
  </si>
  <si>
    <t>Confusion Matrix</t>
  </si>
  <si>
    <t>Binary classfication Example</t>
  </si>
  <si>
    <t>Category-Key</t>
  </si>
  <si>
    <t>Category</t>
  </si>
  <si>
    <t>True Class</t>
  </si>
  <si>
    <t>Predicted Class</t>
  </si>
  <si>
    <t>TP</t>
  </si>
  <si>
    <t>FP</t>
  </si>
  <si>
    <t>FN</t>
  </si>
  <si>
    <t>TN</t>
  </si>
  <si>
    <t>let 0 = Positive class</t>
  </si>
  <si>
    <t xml:space="preserve">Accuracy = </t>
  </si>
  <si>
    <t>Fp rate</t>
  </si>
  <si>
    <t>Precision</t>
  </si>
  <si>
    <t>Recall</t>
  </si>
  <si>
    <t>Category - key</t>
  </si>
  <si>
    <t>F-measure</t>
  </si>
  <si>
    <t>Directions</t>
  </si>
  <si>
    <t>Tp rate</t>
  </si>
  <si>
    <t>let 1 = Positive class</t>
  </si>
  <si>
    <t>Below given Confusion Matrix One metrics calculate in column  I, i.e. accuracy, Tp rate, Fp rate, precision, recall, F-measure</t>
  </si>
  <si>
    <t>Confusion Matrix One</t>
  </si>
  <si>
    <t>Below given Confusion Matrix Two metrics calculate in column  I, i.e. accuracy, Tp rate, Fp rate, precision, recall, F-measure</t>
  </si>
  <si>
    <t>Confusion Matrix Two</t>
  </si>
  <si>
    <t>Confusion Matrix One Codes</t>
  </si>
  <si>
    <t>Go to sheet 'Calcs_2' and find the metrics given positive class =1.</t>
  </si>
  <si>
    <t>Metrics</t>
  </si>
  <si>
    <t>Confusion Matrix two Codes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</si>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</sst>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196549</xdr:colOff>
      <xdr:row>12</xdr:row>
      <xdr:rowOff>76200</xdr:rowOff>
    </xdr:from>
    <xdr:to>
      <xdr:col>27</xdr:col>
      <xdr:colOff>299363</xdr:colOff>
      <xdr:row>37</xdr:row>
      <xdr:rowOff>138236</xdr:rowOff>
    </xdr:to>
    <xdr:pic>
      <xdr:nvPicPr>
        <xdr:cNvPr id="2" name="Content Placeholder 7">
          <a:extLst>
            <a:ext uri="{FF2B5EF4-FFF2-40B4-BE49-F238E27FC236}">
              <a16:creationId xmlns:a16="http://schemas.microsoft.com/office/drawing/2014/main" id="{ABA8E121-F10D-414D-AF4F-AA4DEFCF1C6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78989" y="2253343"/>
          <a:ext cx="8062993" cy="459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4F5B-C8EC-4AAA-8C3D-A9BFE447B5AB}">
  <dimension ref="A1:N42"/>
  <sheetViews>
    <sheetView topLeftCell="A11" zoomScale="84" workbookViewId="0">
      <selection activeCell="D12" sqref="D12"/>
    </sheetView>
  </sheetViews>
  <sheetFormatPr defaultRowHeight="14.5" x14ac:dyDescent="0.35"/>
  <cols>
    <col min="3" max="3" width="13.1796875" customWidth="1"/>
  </cols>
  <sheetData>
    <row r="1" spans="1:14" x14ac:dyDescent="0.35">
      <c r="A1" s="2" t="s">
        <v>19</v>
      </c>
    </row>
    <row r="2" spans="1:14" x14ac:dyDescent="0.35">
      <c r="A2">
        <v>1</v>
      </c>
      <c r="B2" t="s">
        <v>22</v>
      </c>
      <c r="C2" s="5"/>
      <c r="D2" s="5"/>
    </row>
    <row r="3" spans="1:14" x14ac:dyDescent="0.35">
      <c r="A3">
        <v>2</v>
      </c>
      <c r="B3" t="s">
        <v>24</v>
      </c>
      <c r="C3" s="7"/>
      <c r="D3" s="7"/>
    </row>
    <row r="4" spans="1:14" x14ac:dyDescent="0.35">
      <c r="A4">
        <v>3</v>
      </c>
      <c r="B4" t="s">
        <v>27</v>
      </c>
    </row>
    <row r="7" spans="1:14" x14ac:dyDescent="0.35">
      <c r="A7" s="2" t="s">
        <v>2</v>
      </c>
    </row>
    <row r="8" spans="1:14" x14ac:dyDescent="0.35">
      <c r="A8" t="s">
        <v>3</v>
      </c>
      <c r="F8" s="5"/>
      <c r="G8" s="10" t="s">
        <v>23</v>
      </c>
      <c r="H8" s="5"/>
      <c r="I8" s="5"/>
      <c r="K8" s="7"/>
      <c r="L8" s="11" t="s">
        <v>25</v>
      </c>
      <c r="M8" s="7"/>
      <c r="N8" s="7"/>
    </row>
    <row r="9" spans="1:14" x14ac:dyDescent="0.35">
      <c r="F9" s="5"/>
      <c r="G9" s="5"/>
      <c r="H9" s="5"/>
      <c r="I9" s="5"/>
      <c r="K9" s="7"/>
      <c r="L9" s="7"/>
      <c r="M9" s="7"/>
      <c r="N9" s="7"/>
    </row>
    <row r="10" spans="1:14" x14ac:dyDescent="0.35">
      <c r="A10" s="1" t="s">
        <v>0</v>
      </c>
      <c r="B10" s="1" t="s">
        <v>1</v>
      </c>
      <c r="C10" s="1" t="s">
        <v>4</v>
      </c>
      <c r="D10" s="1" t="s">
        <v>5</v>
      </c>
      <c r="F10" s="5"/>
      <c r="G10" s="5"/>
      <c r="H10" s="5" t="s">
        <v>6</v>
      </c>
      <c r="I10" s="5"/>
      <c r="K10" s="7"/>
      <c r="L10" s="7"/>
      <c r="M10" s="7" t="s">
        <v>6</v>
      </c>
      <c r="N10" s="7"/>
    </row>
    <row r="11" spans="1:14" x14ac:dyDescent="0.35">
      <c r="A11" s="1">
        <v>1</v>
      </c>
      <c r="B11" s="1">
        <v>1</v>
      </c>
      <c r="C11" s="1">
        <f>B11+2*A11</f>
        <v>3</v>
      </c>
      <c r="D11" s="1" t="str">
        <f>VLOOKUP(C11,$B$31:$C$34,2,FALSE)</f>
        <v>TN</v>
      </c>
      <c r="F11" s="5"/>
      <c r="G11" s="6" t="s">
        <v>7</v>
      </c>
      <c r="H11" s="12">
        <v>0</v>
      </c>
      <c r="I11" s="12">
        <v>1</v>
      </c>
      <c r="J11" s="1"/>
      <c r="K11" s="9"/>
      <c r="L11" s="8" t="s">
        <v>7</v>
      </c>
      <c r="M11" s="9">
        <v>0</v>
      </c>
      <c r="N11" s="9">
        <v>1</v>
      </c>
    </row>
    <row r="12" spans="1:14" x14ac:dyDescent="0.35">
      <c r="A12" s="1">
        <v>1</v>
      </c>
      <c r="B12" s="1">
        <f t="shared" ref="B12:B20" si="0">A12</f>
        <v>1</v>
      </c>
      <c r="C12" s="1">
        <f t="shared" ref="C12:C20" si="1">B12+2*A12</f>
        <v>3</v>
      </c>
      <c r="D12" s="1" t="str">
        <f t="shared" ref="D11:D20" si="2">VLOOKUP(C12,$B$31:$C$34,2,FALSE)</f>
        <v>TN</v>
      </c>
      <c r="F12" s="5"/>
      <c r="G12" s="5">
        <v>0</v>
      </c>
      <c r="H12" s="12">
        <f>COUNTIF($D$11:$D$20,C27)</f>
        <v>1</v>
      </c>
      <c r="I12" s="12">
        <f>COUNTIF($D$11:$D$20,D27)</f>
        <v>2</v>
      </c>
      <c r="J12" s="1"/>
      <c r="K12" s="9"/>
      <c r="L12" s="9">
        <v>0</v>
      </c>
      <c r="M12" s="9">
        <v>1</v>
      </c>
      <c r="N12" s="9">
        <v>2</v>
      </c>
    </row>
    <row r="13" spans="1:14" x14ac:dyDescent="0.35">
      <c r="A13" s="1">
        <v>1</v>
      </c>
      <c r="B13" s="1">
        <v>1</v>
      </c>
      <c r="C13" s="1">
        <f t="shared" si="1"/>
        <v>3</v>
      </c>
      <c r="D13" s="1" t="str">
        <f t="shared" si="2"/>
        <v>TN</v>
      </c>
      <c r="F13" s="5"/>
      <c r="G13" s="5">
        <v>1</v>
      </c>
      <c r="H13" s="12">
        <f>COUNTIF($D$11:$D$20,C28)</f>
        <v>1</v>
      </c>
      <c r="I13" s="12">
        <f>COUNTIF($D$11:$D$20,D28)</f>
        <v>6</v>
      </c>
      <c r="J13" s="1"/>
      <c r="K13" s="9"/>
      <c r="L13" s="9">
        <v>1</v>
      </c>
      <c r="M13" s="9">
        <v>1</v>
      </c>
      <c r="N13" s="9">
        <v>6</v>
      </c>
    </row>
    <row r="14" spans="1:14" x14ac:dyDescent="0.35">
      <c r="A14" s="1">
        <v>1</v>
      </c>
      <c r="B14" s="1">
        <f t="shared" si="0"/>
        <v>1</v>
      </c>
      <c r="C14" s="1">
        <f t="shared" si="1"/>
        <v>3</v>
      </c>
      <c r="D14" s="1" t="str">
        <f t="shared" si="2"/>
        <v>TN</v>
      </c>
      <c r="F14" s="5"/>
      <c r="G14" s="5"/>
      <c r="H14" s="12">
        <f>SUM(H12:H13)</f>
        <v>2</v>
      </c>
      <c r="I14" s="12">
        <f>SUM(I12:I13)</f>
        <v>8</v>
      </c>
      <c r="J14" s="1"/>
      <c r="K14" s="1"/>
      <c r="L14" s="1"/>
      <c r="M14" s="9">
        <v>2</v>
      </c>
      <c r="N14" s="9">
        <v>8</v>
      </c>
    </row>
    <row r="15" spans="1:14" x14ac:dyDescent="0.35">
      <c r="A15" s="1">
        <v>0</v>
      </c>
      <c r="B15" s="1">
        <f t="shared" si="0"/>
        <v>0</v>
      </c>
      <c r="C15" s="1">
        <f t="shared" si="1"/>
        <v>0</v>
      </c>
      <c r="D15" s="1" t="str">
        <f t="shared" si="2"/>
        <v>TP</v>
      </c>
    </row>
    <row r="16" spans="1:14" x14ac:dyDescent="0.35">
      <c r="A16" s="1">
        <v>1</v>
      </c>
      <c r="B16" s="1">
        <v>0</v>
      </c>
      <c r="C16" s="1">
        <f t="shared" si="1"/>
        <v>2</v>
      </c>
      <c r="D16" s="4" t="str">
        <f t="shared" si="2"/>
        <v>FP</v>
      </c>
      <c r="G16" s="5" t="s">
        <v>12</v>
      </c>
      <c r="H16" s="5"/>
      <c r="K16" s="7" t="s">
        <v>21</v>
      </c>
      <c r="L16" s="7"/>
    </row>
    <row r="17" spans="1:13" x14ac:dyDescent="0.35">
      <c r="A17" s="1">
        <v>1</v>
      </c>
      <c r="B17" s="1">
        <f t="shared" si="0"/>
        <v>1</v>
      </c>
      <c r="C17" s="1">
        <f t="shared" si="1"/>
        <v>3</v>
      </c>
      <c r="D17" s="1" t="str">
        <f t="shared" si="2"/>
        <v>TN</v>
      </c>
    </row>
    <row r="18" spans="1:13" x14ac:dyDescent="0.35">
      <c r="A18" s="1">
        <v>1</v>
      </c>
      <c r="B18" s="1">
        <v>0</v>
      </c>
      <c r="C18" s="1">
        <f t="shared" si="1"/>
        <v>2</v>
      </c>
      <c r="D18" s="4" t="str">
        <f t="shared" si="2"/>
        <v>FP</v>
      </c>
      <c r="H18" t="s">
        <v>13</v>
      </c>
      <c r="I18" s="5">
        <f>(H12+I13)/(H14+I14)</f>
        <v>0.7</v>
      </c>
      <c r="L18" t="s">
        <v>13</v>
      </c>
      <c r="M18" s="7" t="e" cm="1">
        <f t="array" aca="1" ref="M18" ca="1">C38(N13+M12)/(N14+M14)</f>
        <v>#REF!</v>
      </c>
    </row>
    <row r="19" spans="1:13" x14ac:dyDescent="0.35">
      <c r="A19" s="1">
        <v>0</v>
      </c>
      <c r="B19" s="1">
        <v>1</v>
      </c>
      <c r="C19" s="1">
        <f t="shared" si="1"/>
        <v>1</v>
      </c>
      <c r="D19" s="1" t="str">
        <f t="shared" si="2"/>
        <v>FN</v>
      </c>
      <c r="I19" s="5"/>
      <c r="M19" s="7"/>
    </row>
    <row r="20" spans="1:13" x14ac:dyDescent="0.35">
      <c r="A20" s="1">
        <v>1</v>
      </c>
      <c r="B20" s="1">
        <f t="shared" si="0"/>
        <v>1</v>
      </c>
      <c r="C20" s="1">
        <f t="shared" si="1"/>
        <v>3</v>
      </c>
      <c r="D20" s="1" t="str">
        <f t="shared" si="2"/>
        <v>TN</v>
      </c>
      <c r="H20" t="s">
        <v>14</v>
      </c>
      <c r="I20" s="5">
        <f>I12/I14</f>
        <v>0.25</v>
      </c>
      <c r="L20" t="s">
        <v>14</v>
      </c>
      <c r="M20" s="7">
        <f>M13/M14</f>
        <v>0.5</v>
      </c>
    </row>
    <row r="21" spans="1:13" x14ac:dyDescent="0.35">
      <c r="H21" t="s">
        <v>20</v>
      </c>
      <c r="I21" s="5">
        <f>H12/H14</f>
        <v>0.5</v>
      </c>
      <c r="L21" t="s">
        <v>20</v>
      </c>
      <c r="M21" s="7">
        <f>N13/N14</f>
        <v>0.75</v>
      </c>
    </row>
    <row r="22" spans="1:13" x14ac:dyDescent="0.35">
      <c r="I22" s="5"/>
      <c r="M22" s="7"/>
    </row>
    <row r="23" spans="1:13" x14ac:dyDescent="0.35">
      <c r="A23" s="7"/>
      <c r="B23" s="11" t="s">
        <v>26</v>
      </c>
      <c r="C23" s="7"/>
      <c r="D23" s="7"/>
      <c r="H23" t="s">
        <v>15</v>
      </c>
      <c r="I23" s="5">
        <f>H12/(H12+I12)</f>
        <v>0.33333333333333331</v>
      </c>
      <c r="L23" t="s">
        <v>15</v>
      </c>
      <c r="M23" s="7">
        <f>N13/(N13+M13)</f>
        <v>0.8571428571428571</v>
      </c>
    </row>
    <row r="24" spans="1:13" x14ac:dyDescent="0.35">
      <c r="A24" s="7"/>
      <c r="B24" s="7"/>
      <c r="C24" s="7"/>
      <c r="D24" s="7"/>
      <c r="H24" t="s">
        <v>16</v>
      </c>
      <c r="I24" s="5">
        <f>H12/H14</f>
        <v>0.5</v>
      </c>
      <c r="L24" t="s">
        <v>16</v>
      </c>
      <c r="M24" s="7">
        <f>N13/N14</f>
        <v>0.75</v>
      </c>
    </row>
    <row r="25" spans="1:13" x14ac:dyDescent="0.35">
      <c r="A25" s="7"/>
      <c r="B25" s="7"/>
      <c r="C25" s="7" t="s">
        <v>6</v>
      </c>
      <c r="D25" s="7"/>
      <c r="I25" s="5"/>
      <c r="M25" s="7"/>
    </row>
    <row r="26" spans="1:13" x14ac:dyDescent="0.35">
      <c r="A26" s="9"/>
      <c r="B26" s="8" t="s">
        <v>7</v>
      </c>
      <c r="C26" s="9">
        <v>0</v>
      </c>
      <c r="D26" s="9">
        <v>1</v>
      </c>
      <c r="H26" t="s">
        <v>18</v>
      </c>
      <c r="I26" s="5">
        <f>2 * (I23 * I24) / (I23 + I24)</f>
        <v>0.4</v>
      </c>
      <c r="L26" t="s">
        <v>18</v>
      </c>
      <c r="M26" s="7">
        <f>2 * (M23 * M24) / (M23 + M24)</f>
        <v>0.79999999999999993</v>
      </c>
    </row>
    <row r="27" spans="1:13" x14ac:dyDescent="0.35">
      <c r="A27" s="9"/>
      <c r="B27" s="9">
        <v>0</v>
      </c>
      <c r="C27" s="9" t="s">
        <v>8</v>
      </c>
      <c r="D27" s="9" t="s">
        <v>9</v>
      </c>
    </row>
    <row r="28" spans="1:13" x14ac:dyDescent="0.35">
      <c r="A28" s="9"/>
      <c r="B28" s="9">
        <v>1</v>
      </c>
      <c r="C28" s="9" t="s">
        <v>10</v>
      </c>
      <c r="D28" s="9" t="s">
        <v>11</v>
      </c>
    </row>
    <row r="30" spans="1:13" x14ac:dyDescent="0.35">
      <c r="A30" s="13"/>
      <c r="B30" s="20" t="s">
        <v>17</v>
      </c>
      <c r="C30" s="21" t="s">
        <v>5</v>
      </c>
    </row>
    <row r="31" spans="1:13" x14ac:dyDescent="0.35">
      <c r="A31" s="14"/>
      <c r="B31" s="15">
        <v>0</v>
      </c>
      <c r="C31" s="16" t="s">
        <v>8</v>
      </c>
    </row>
    <row r="32" spans="1:13" x14ac:dyDescent="0.35">
      <c r="A32" s="14"/>
      <c r="B32" s="15">
        <v>1</v>
      </c>
      <c r="C32" s="16" t="s">
        <v>10</v>
      </c>
    </row>
    <row r="33" spans="1:8" x14ac:dyDescent="0.35">
      <c r="A33" s="14"/>
      <c r="B33" s="15">
        <v>2</v>
      </c>
      <c r="C33" s="16" t="s">
        <v>9</v>
      </c>
    </row>
    <row r="34" spans="1:8" x14ac:dyDescent="0.35">
      <c r="A34" s="17"/>
      <c r="B34" s="18">
        <v>3</v>
      </c>
      <c r="C34" s="19" t="s">
        <v>11</v>
      </c>
    </row>
    <row r="36" spans="1:8" x14ac:dyDescent="0.35">
      <c r="A36" s="7"/>
      <c r="B36" s="11" t="s">
        <v>29</v>
      </c>
      <c r="C36" s="7"/>
      <c r="D36" s="7"/>
    </row>
    <row r="37" spans="1:8" x14ac:dyDescent="0.35">
      <c r="A37" s="7"/>
      <c r="B37" s="7"/>
      <c r="C37" s="7"/>
      <c r="D37" s="7"/>
      <c r="H37" s="3"/>
    </row>
    <row r="38" spans="1:8" x14ac:dyDescent="0.35">
      <c r="A38" s="7"/>
      <c r="B38" s="7"/>
      <c r="C38" s="7" t="s">
        <v>6</v>
      </c>
      <c r="D38" s="7"/>
    </row>
    <row r="39" spans="1:8" x14ac:dyDescent="0.35">
      <c r="A39" s="9"/>
      <c r="B39" s="8" t="s">
        <v>7</v>
      </c>
      <c r="C39" s="9">
        <v>0</v>
      </c>
      <c r="D39" s="9">
        <v>1</v>
      </c>
    </row>
    <row r="40" spans="1:8" x14ac:dyDescent="0.35">
      <c r="A40" s="9"/>
      <c r="B40" s="9">
        <v>0</v>
      </c>
      <c r="C40" s="9" t="s">
        <v>11</v>
      </c>
      <c r="D40" s="9" t="s">
        <v>10</v>
      </c>
    </row>
    <row r="41" spans="1:8" x14ac:dyDescent="0.35">
      <c r="A41" s="9"/>
      <c r="B41" s="9">
        <v>1</v>
      </c>
      <c r="C41" s="9" t="s">
        <v>9</v>
      </c>
      <c r="D41" s="9" t="s">
        <v>8</v>
      </c>
    </row>
    <row r="42" spans="1:8" x14ac:dyDescent="0.35">
      <c r="C42" s="9" t="s">
        <v>30</v>
      </c>
      <c r="D42" s="9" t="s">
        <v>31</v>
      </c>
    </row>
  </sheetData>
  <conditionalFormatting sqref="B24:D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7:D41 C42:D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9749-5B7A-4FD0-B07F-CE76DBE6140B}">
  <dimension ref="A1:F28"/>
  <sheetViews>
    <sheetView tabSelected="1" workbookViewId="0">
      <selection activeCell="H15" sqref="H15"/>
    </sheetView>
  </sheetViews>
  <sheetFormatPr defaultRowHeight="14.5" x14ac:dyDescent="0.35"/>
  <cols>
    <col min="1" max="1" width="11.54296875" customWidth="1"/>
    <col min="3" max="3" width="16.1796875" customWidth="1"/>
  </cols>
  <sheetData>
    <row r="1" spans="1:6" x14ac:dyDescent="0.35">
      <c r="A1" s="4" t="s">
        <v>0</v>
      </c>
      <c r="B1" s="4" t="s">
        <v>1</v>
      </c>
      <c r="C1" s="1" t="s">
        <v>4</v>
      </c>
      <c r="D1" s="1" t="s">
        <v>5</v>
      </c>
    </row>
    <row r="2" spans="1:6" x14ac:dyDescent="0.35">
      <c r="A2" s="1">
        <v>1</v>
      </c>
      <c r="B2" s="1">
        <v>1</v>
      </c>
      <c r="C2">
        <f>B2+2*A2</f>
        <v>3</v>
      </c>
      <c r="D2" t="str">
        <f>VLOOKUP(C2,$B$25:$C$28,2,FALSE)</f>
        <v>TN</v>
      </c>
      <c r="F2" s="2" t="s">
        <v>28</v>
      </c>
    </row>
    <row r="3" spans="1:6" x14ac:dyDescent="0.35">
      <c r="A3" s="1">
        <v>1</v>
      </c>
      <c r="B3" s="1">
        <v>1</v>
      </c>
      <c r="C3">
        <f t="shared" ref="C3:C20" si="0">B3+2*A3</f>
        <v>3</v>
      </c>
      <c r="D3" t="str">
        <f t="shared" ref="D3:D21" si="1">VLOOKUP(C3,$B$25:$C$28,2,FALSE)</f>
        <v>TN</v>
      </c>
    </row>
    <row r="4" spans="1:6" x14ac:dyDescent="0.35">
      <c r="A4" s="1">
        <v>1</v>
      </c>
      <c r="B4" s="1">
        <v>1</v>
      </c>
      <c r="C4">
        <f t="shared" si="0"/>
        <v>3</v>
      </c>
      <c r="D4" t="str">
        <f t="shared" si="1"/>
        <v>TN</v>
      </c>
      <c r="F4" t="s">
        <v>13</v>
      </c>
    </row>
    <row r="5" spans="1:6" x14ac:dyDescent="0.35">
      <c r="A5" s="1">
        <v>1</v>
      </c>
      <c r="B5" s="1">
        <v>1</v>
      </c>
      <c r="C5">
        <f t="shared" si="0"/>
        <v>3</v>
      </c>
      <c r="D5" t="str">
        <f t="shared" si="1"/>
        <v>TN</v>
      </c>
    </row>
    <row r="6" spans="1:6" x14ac:dyDescent="0.35">
      <c r="A6" s="1">
        <v>0</v>
      </c>
      <c r="B6" s="1">
        <v>0</v>
      </c>
      <c r="C6">
        <f t="shared" si="0"/>
        <v>0</v>
      </c>
      <c r="D6" t="str">
        <f t="shared" si="1"/>
        <v>TP</v>
      </c>
      <c r="F6" t="s">
        <v>14</v>
      </c>
    </row>
    <row r="7" spans="1:6" x14ac:dyDescent="0.35">
      <c r="A7" s="1">
        <v>1</v>
      </c>
      <c r="B7" s="1">
        <v>0</v>
      </c>
      <c r="C7">
        <f t="shared" si="0"/>
        <v>2</v>
      </c>
      <c r="D7" t="str">
        <f t="shared" si="1"/>
        <v>FP</v>
      </c>
      <c r="F7" t="s">
        <v>20</v>
      </c>
    </row>
    <row r="8" spans="1:6" x14ac:dyDescent="0.35">
      <c r="A8" s="1">
        <v>1</v>
      </c>
      <c r="B8" s="1">
        <v>1</v>
      </c>
      <c r="C8">
        <f t="shared" si="0"/>
        <v>3</v>
      </c>
      <c r="D8" t="str">
        <f t="shared" si="1"/>
        <v>TN</v>
      </c>
    </row>
    <row r="9" spans="1:6" x14ac:dyDescent="0.35">
      <c r="A9" s="1">
        <v>1</v>
      </c>
      <c r="B9" s="1">
        <v>0</v>
      </c>
      <c r="C9">
        <f t="shared" si="0"/>
        <v>2</v>
      </c>
      <c r="D9" t="str">
        <f t="shared" si="1"/>
        <v>FP</v>
      </c>
      <c r="F9" t="s">
        <v>15</v>
      </c>
    </row>
    <row r="10" spans="1:6" x14ac:dyDescent="0.35">
      <c r="A10" s="1">
        <v>0</v>
      </c>
      <c r="B10" s="1">
        <v>1</v>
      </c>
      <c r="C10">
        <f t="shared" si="0"/>
        <v>1</v>
      </c>
      <c r="D10" t="str">
        <f t="shared" si="1"/>
        <v>FN</v>
      </c>
      <c r="F10" t="s">
        <v>16</v>
      </c>
    </row>
    <row r="11" spans="1:6" x14ac:dyDescent="0.35">
      <c r="A11" s="1">
        <v>1</v>
      </c>
      <c r="B11" s="1">
        <v>1</v>
      </c>
      <c r="C11">
        <f t="shared" si="0"/>
        <v>3</v>
      </c>
      <c r="D11" t="str">
        <f t="shared" si="1"/>
        <v>TN</v>
      </c>
    </row>
    <row r="12" spans="1:6" x14ac:dyDescent="0.35">
      <c r="A12" s="1">
        <v>1</v>
      </c>
      <c r="B12" s="1">
        <v>1</v>
      </c>
      <c r="C12">
        <f t="shared" si="0"/>
        <v>3</v>
      </c>
      <c r="D12" t="str">
        <f t="shared" si="1"/>
        <v>TN</v>
      </c>
      <c r="F12" t="s">
        <v>18</v>
      </c>
    </row>
    <row r="13" spans="1:6" x14ac:dyDescent="0.35">
      <c r="A13" s="1">
        <v>0</v>
      </c>
      <c r="B13" s="1">
        <v>0</v>
      </c>
      <c r="C13">
        <f t="shared" si="0"/>
        <v>0</v>
      </c>
      <c r="D13" t="str">
        <f t="shared" si="1"/>
        <v>TP</v>
      </c>
    </row>
    <row r="14" spans="1:6" x14ac:dyDescent="0.35">
      <c r="A14" s="1">
        <v>1</v>
      </c>
      <c r="B14" s="1">
        <v>0</v>
      </c>
      <c r="C14">
        <f t="shared" si="0"/>
        <v>2</v>
      </c>
      <c r="D14" t="str">
        <f t="shared" si="1"/>
        <v>FP</v>
      </c>
    </row>
    <row r="15" spans="1:6" x14ac:dyDescent="0.35">
      <c r="A15" s="1">
        <v>0</v>
      </c>
      <c r="B15" s="1">
        <v>1</v>
      </c>
      <c r="C15">
        <f t="shared" si="0"/>
        <v>1</v>
      </c>
      <c r="D15" t="str">
        <f t="shared" si="1"/>
        <v>FN</v>
      </c>
    </row>
    <row r="16" spans="1:6" x14ac:dyDescent="0.35">
      <c r="A16" s="1">
        <v>0</v>
      </c>
      <c r="B16" s="1">
        <v>0</v>
      </c>
      <c r="C16">
        <f t="shared" si="0"/>
        <v>0</v>
      </c>
      <c r="D16" t="str">
        <f t="shared" si="1"/>
        <v>TP</v>
      </c>
    </row>
    <row r="17" spans="1:4" x14ac:dyDescent="0.35">
      <c r="A17" s="1">
        <v>1</v>
      </c>
      <c r="B17" s="1">
        <v>1</v>
      </c>
      <c r="C17">
        <f t="shared" si="0"/>
        <v>3</v>
      </c>
      <c r="D17" t="str">
        <f t="shared" si="1"/>
        <v>TN</v>
      </c>
    </row>
    <row r="18" spans="1:4" x14ac:dyDescent="0.35">
      <c r="A18" s="1">
        <v>0</v>
      </c>
      <c r="B18" s="1">
        <v>0</v>
      </c>
      <c r="C18">
        <f t="shared" si="0"/>
        <v>0</v>
      </c>
      <c r="D18" t="str">
        <f t="shared" si="1"/>
        <v>TP</v>
      </c>
    </row>
    <row r="19" spans="1:4" x14ac:dyDescent="0.35">
      <c r="A19" s="1">
        <v>0</v>
      </c>
      <c r="B19" s="1">
        <v>0</v>
      </c>
      <c r="C19">
        <f t="shared" si="0"/>
        <v>0</v>
      </c>
      <c r="D19" t="str">
        <f t="shared" si="1"/>
        <v>TP</v>
      </c>
    </row>
    <row r="20" spans="1:4" x14ac:dyDescent="0.35">
      <c r="A20" s="1">
        <v>0</v>
      </c>
      <c r="B20" s="1">
        <v>1</v>
      </c>
      <c r="C20">
        <f t="shared" si="0"/>
        <v>1</v>
      </c>
      <c r="D20" t="str">
        <f t="shared" si="1"/>
        <v>FN</v>
      </c>
    </row>
    <row r="21" spans="1:4" x14ac:dyDescent="0.35">
      <c r="A21" s="1">
        <v>1</v>
      </c>
      <c r="B21" s="1">
        <v>0</v>
      </c>
      <c r="C21">
        <f>B21+2*A21</f>
        <v>2</v>
      </c>
      <c r="D21" t="str">
        <f t="shared" si="1"/>
        <v>FP</v>
      </c>
    </row>
    <row r="24" spans="1:4" x14ac:dyDescent="0.35">
      <c r="A24" s="13"/>
      <c r="B24" s="20" t="s">
        <v>17</v>
      </c>
      <c r="C24" s="21" t="s">
        <v>5</v>
      </c>
    </row>
    <row r="25" spans="1:4" x14ac:dyDescent="0.35">
      <c r="A25" s="14"/>
      <c r="B25" s="15">
        <v>0</v>
      </c>
      <c r="C25" s="16" t="s">
        <v>8</v>
      </c>
    </row>
    <row r="26" spans="1:4" x14ac:dyDescent="0.35">
      <c r="A26" s="14"/>
      <c r="B26" s="15">
        <v>1</v>
      </c>
      <c r="C26" s="16" t="s">
        <v>10</v>
      </c>
    </row>
    <row r="27" spans="1:4" x14ac:dyDescent="0.35">
      <c r="A27" s="14"/>
      <c r="B27" s="15">
        <v>2</v>
      </c>
      <c r="C27" s="16" t="s">
        <v>9</v>
      </c>
    </row>
    <row r="28" spans="1:4" x14ac:dyDescent="0.35">
      <c r="A28" s="17"/>
      <c r="B28" s="18">
        <v>3</v>
      </c>
      <c r="C28" s="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Calcs_1</vt:lpstr>
      <vt:lpstr>Cacls_2</vt:lpstr>
    </vt:vector>
  </TitlesOfParts>
  <Company>Cork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Daly</dc:creator>
  <cp:lastModifiedBy>Student Bramadeth Subhash (CR_SDAAN_9_Y5)</cp:lastModifiedBy>
  <dcterms:created xsi:type="dcterms:W3CDTF">2020-11-09T13:58:28Z</dcterms:created>
  <dcterms:modified xsi:type="dcterms:W3CDTF">2025-10-06T11:27:54Z</dcterms:modified>
</cp:coreProperties>
</file>